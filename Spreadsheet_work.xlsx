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796169a71191ad/Desktop/Data_Analyst_Assignment/Spreadsheets/"/>
    </mc:Choice>
  </mc:AlternateContent>
  <xr:revisionPtr revIDLastSave="4" documentId="8_{EFD1B5FD-AA2B-49CB-91BB-57340CEDC3DE}" xr6:coauthVersionLast="47" xr6:coauthVersionMax="47" xr10:uidLastSave="{77711509-B5F5-431D-AB3E-C7C9235577B9}"/>
  <bookViews>
    <workbookView xWindow="-120" yWindow="-120" windowWidth="19440" windowHeight="11040" activeTab="2" xr2:uid="{99BFA86F-0EC0-46A5-8DC8-CDC7B05DBBD4}"/>
  </bookViews>
  <sheets>
    <sheet name="Pivot_for_tickets" sheetId="3" r:id="rId1"/>
    <sheet name="ticket" sheetId="1" r:id="rId2"/>
    <sheet name="feedbacks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K2" i="1"/>
  <c r="K3" i="1"/>
  <c r="I2" i="1"/>
  <c r="I3" i="1"/>
  <c r="I4" i="1"/>
  <c r="I5" i="1"/>
  <c r="I6" i="1"/>
  <c r="H2" i="1"/>
  <c r="H3" i="1"/>
  <c r="H4" i="1"/>
  <c r="H5" i="1"/>
  <c r="H6" i="1"/>
  <c r="G3" i="1"/>
  <c r="G4" i="1"/>
  <c r="G5" i="1"/>
  <c r="G6" i="1"/>
  <c r="G2" i="1"/>
  <c r="F2" i="1"/>
  <c r="J2" i="1" s="1"/>
  <c r="F3" i="1"/>
  <c r="J3" i="1" s="1"/>
  <c r="F4" i="1"/>
  <c r="J4" i="1" s="1"/>
  <c r="F5" i="1"/>
  <c r="J5" i="1" s="1"/>
  <c r="F6" i="1"/>
  <c r="J6" i="1" s="1"/>
  <c r="K4" i="1" l="1"/>
  <c r="K6" i="1"/>
  <c r="K5" i="1"/>
</calcChain>
</file>

<file path=xl/sharedStrings.xml><?xml version="1.0" encoding="utf-8"?>
<sst xmlns="http://schemas.openxmlformats.org/spreadsheetml/2006/main" count="41" uniqueCount="30">
  <si>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</si>
  <si>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</si>
  <si>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</si>
  <si>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</si>
  <si>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</si>
  <si>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</si>
  <si>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</si>
  <si>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</si>
  <si>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</si>
  <si>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</si>
  <si>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abc-xyz-34</t>
  </si>
  <si>
    <t>ztp-wer-321</t>
  </si>
  <si>
    <t>lmn-opq-56</t>
  </si>
  <si>
    <t>abc-ghi-654</t>
  </si>
  <si>
    <t>rst-uvw-78</t>
  </si>
  <si>
    <t>hjk-lmn-987</t>
  </si>
  <si>
    <t>xyz-abc-90</t>
  </si>
  <si>
    <t>feedback_at</t>
  </si>
  <si>
    <t>feedback_rating</t>
  </si>
  <si>
    <t>ticket_created_at</t>
  </si>
  <si>
    <t>created_date</t>
  </si>
  <si>
    <t>closed_date</t>
  </si>
  <si>
    <t>created_hour</t>
  </si>
  <si>
    <t>closed_at2</t>
  </si>
  <si>
    <t>Same_day</t>
  </si>
  <si>
    <t>same_hour</t>
  </si>
  <si>
    <t>Row Labels</t>
  </si>
  <si>
    <t>Grand Total</t>
  </si>
  <si>
    <t>Sum of Same_day</t>
  </si>
  <si>
    <t>Sum of 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</si>
</sst>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numFmt numFmtId="27" formatCode="dd/mm/yyyy\ hh:mm"/>
    </dxf>
    <dxf>
      <numFmt numFmtId="27" formatCode="dd/mm/yyyy\ hh:mm"/>
    </dxf>
    <dxf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numFmt numFmtId="164" formatCode="[$-F800]dddd\,\ mmmm\ dd\,\ 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[Spreadsheet_work.xlsx]Pivot_for_tickets!PivotTable1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89917496024203"/>
          <c:y val="0.16217156973313421"/>
          <c:w val="0.6974526432882404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Pivot_for_tickets!$B$3</c:f>
              <c:strCache>
                <c:ptCount val="1"/>
                <c:pt idx="0">
                  <c:v>Sum of Same_day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Pivot_for_tickets!$A$4:$A$6</c:f>
              <c:strCache>
                <c:ptCount val="2"/>
                <c:pt idx="0">
                  <c:v>8woh-k3u-23b</c:v>
                </c:pt>
                <c:pt idx="1">
                  <c:v>wrqy-juv-978</c:v>
                </c:pt>
              </c:strCache>
            </c:strRef>
          </c:cat>
          <c:val>
            <c:numRef>
              <c:f>Pivot_for_tickets!$B$4:$B$6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1-48B3-80C7-CBBD39935693}"/>
            </c:ext>
          </c:extLst>
        </c:ser>
        <c:ser>
          <c:idx val="1"/>
          <c:order val="1"/>
          <c:tx>
            <c:strRef>
              <c:f>Pivot_for_tickets!$C$3</c:f>
              <c:strCache>
                <c:ptCount val="1"/>
                <c:pt idx="0">
                  <c:v>Sum of same_hour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Pivot_for_tickets!$A$4:$A$6</c:f>
              <c:strCache>
                <c:ptCount val="2"/>
                <c:pt idx="0">
                  <c:v>8woh-k3u-23b</c:v>
                </c:pt>
                <c:pt idx="1">
                  <c:v>wrqy-juv-978</c:v>
                </c:pt>
              </c:strCache>
            </c:strRef>
          </c:cat>
          <c:val>
            <c:numRef>
              <c:f>Pivot_for_tickets!$C$4:$C$6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41-48B3-80C7-CBBD39935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612047"/>
        <c:axId val="943621647"/>
      </c:barChart>
      <c:catAx>
        <c:axId val="943612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Sum_of_same_day_and</a:t>
                </a:r>
                <a:r>
                  <a:rPr lang="en-IN" baseline="0"/>
                  <a:t>_same_hour_values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21647"/>
        <c:crosses val="autoZero"/>
        <c:auto val="1"/>
        <c:lblAlgn val="ctr"/>
        <c:lblOffset val="100"/>
        <c:noMultiLvlLbl val="0"/>
      </c:catAx>
      <c:valAx>
        <c:axId val="94362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Count_tickets_value</a:t>
                </a:r>
              </a:p>
            </c:rich>
          </c:tx>
          <c:layout>
            <c:manualLayout>
              <c:xMode val="edge"/>
              <c:yMode val="edge"/>
              <c:x val="2.6437146320071048E-2"/>
              <c:y val="0.24079784813748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1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72344516846668"/>
          <c:y val="4.3856364129910086E-3"/>
          <c:w val="0.23300078272621222"/>
          <c:h val="0.26545568840421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2</xdr:row>
      <xdr:rowOff>166687</xdr:rowOff>
    </xdr:from>
    <xdr:to>
      <xdr:col>7</xdr:col>
      <xdr:colOff>314324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EDF5C-7E45-5385-85C7-69DAEA0DA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RSHAN" refreshedDate="46120.867668634259" createdVersion="8" refreshedVersion="8" minRefreshableVersion="3" recordCount="5" xr:uid="{3E5FC956-9F92-4B66-9D24-9A4A6A53CB50}">
  <cacheSource type="worksheet">
    <worksheetSource name="Table1"/>
  </cacheSource>
  <cacheFields count="11">
    <cacheField name="ticket_id" numFmtId="0">
      <sharedItems/>
    </cacheField>
    <cacheField name="created_at" numFmtId="22">
      <sharedItems containsSemiMixedTypes="0" containsNonDate="0" containsDate="1" containsString="0" minDate="2021-08-19T09:05:12" maxDate="2021-08-22T14:20:30"/>
    </cacheField>
    <cacheField name="closed_at" numFmtId="22">
      <sharedItems containsSemiMixedTypes="0" containsNonDate="0" containsDate="1" containsString="0" minDate="2021-08-21T09:45:10" maxDate="2021-08-22T14:50:20"/>
    </cacheField>
    <cacheField name="outlet_id" numFmtId="0">
      <sharedItems count="2">
        <s v="wrqy-juv-978"/>
        <s v="8woh-k3u-23b"/>
      </sharedItems>
    </cacheField>
    <cacheField name="cms_id" numFmtId="0">
      <sharedItems/>
    </cacheField>
    <cacheField name="created_date" numFmtId="164">
      <sharedItems containsSemiMixedTypes="0" containsNonDate="0" containsDate="1" containsString="0" minDate="2021-08-19T00:00:00" maxDate="2021-08-23T00:00:00"/>
    </cacheField>
    <cacheField name="closed_date" numFmtId="164">
      <sharedItems containsSemiMixedTypes="0" containsNonDate="0" containsDate="1" containsString="0" minDate="2021-08-21T00:00:00" maxDate="2021-08-23T00:00:00"/>
    </cacheField>
    <cacheField name="created_hour" numFmtId="0">
      <sharedItems containsSemiMixedTypes="0" containsString="0" containsNumber="1" containsInteger="1" minValue="9" maxValue="14"/>
    </cacheField>
    <cacheField name="closed_at2" numFmtId="0">
      <sharedItems containsSemiMixedTypes="0" containsString="0" containsNumber="1" containsInteger="1" minValue="9" maxValue="17"/>
    </cacheField>
    <cacheField name="Same_day" numFmtId="0">
      <sharedItems containsSemiMixedTypes="0" containsString="0" containsNumber="1" containsInteger="1" minValue="0" maxValue="1" count="2">
        <n v="0"/>
        <n v="1"/>
      </sharedItems>
    </cacheField>
    <cacheField name="same_hour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isu-sjd-457"/>
    <d v="2021-08-19T09:05:12"/>
    <d v="2021-08-22T12:33:32"/>
    <x v="0"/>
    <s v="vew-iuvd-12"/>
    <d v="2021-08-19T00:00:00"/>
    <d v="2021-08-22T00:00:00"/>
    <n v="9"/>
    <n v="12"/>
    <x v="0"/>
    <x v="0"/>
  </r>
  <r>
    <s v="qer-fal-092"/>
    <d v="2021-08-20T09:05:12"/>
    <d v="2021-08-21T17:13:45"/>
    <x v="1"/>
    <s v="abc-xyz-34"/>
    <d v="2021-08-20T00:00:00"/>
    <d v="2021-08-21T00:00:00"/>
    <n v="9"/>
    <n v="17"/>
    <x v="0"/>
    <x v="0"/>
  </r>
  <r>
    <s v="ztp-wer-321"/>
    <d v="2021-08-21T09:05:12"/>
    <d v="2021-08-21T09:45:10"/>
    <x v="0"/>
    <s v="lmn-opq-56"/>
    <d v="2021-08-21T00:00:00"/>
    <d v="2021-08-21T00:00:00"/>
    <n v="9"/>
    <n v="9"/>
    <x v="1"/>
    <x v="1"/>
  </r>
  <r>
    <s v="abc-ghi-654"/>
    <d v="2021-08-22T14:20:30"/>
    <d v="2021-08-22T14:50:20"/>
    <x v="1"/>
    <s v="rst-uvw-78"/>
    <d v="2021-08-22T00:00:00"/>
    <d v="2021-08-22T00:00:00"/>
    <n v="14"/>
    <n v="14"/>
    <x v="1"/>
    <x v="1"/>
  </r>
  <r>
    <s v="hjk-lmn-987"/>
    <d v="2021-08-22T10:10:10"/>
    <d v="2021-08-22T11:05:05"/>
    <x v="0"/>
    <s v="xyz-abc-90"/>
    <d v="2021-08-22T00:00:00"/>
    <d v="2021-08-22T00:00:00"/>
    <n v="10"/>
    <n v="1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080A0-83EB-4D7F-8E13-EE0E7278DB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6" firstHeaderRow="0" firstDataRow="1" firstDataCol="1"/>
  <pivotFields count="11">
    <pivotField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numFmtId="164" showAll="0"/>
    <pivotField numFmtId="164"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" fld="9" baseField="0" baseItem="0"/>
    <dataField name="Sum of same_hour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D026D-775F-482A-854F-075307DE4B6D}" name="Table1" displayName="Table1" ref="A1:K6" totalsRowShown="0" dataDxfId="15">
  <autoFilter ref="A1:K6" xr:uid="{842D026D-775F-482A-854F-075307DE4B6D}"/>
  <tableColumns count="11">
    <tableColumn id="1" xr3:uid="{6DC2C8F2-F768-4DA2-A65C-6ADC278F8A4F}" name="ticket_id" dataDxfId="14"/>
    <tableColumn id="2" xr3:uid="{7630C232-31DB-4AF3-A567-66B78B748A3E}" name="created_at" dataDxfId="0"/>
    <tableColumn id="3" xr3:uid="{F53ADA4D-EF15-4F12-9A6D-E8F4FB335CAF}" name="closed_at" dataDxfId="13"/>
    <tableColumn id="4" xr3:uid="{F78FD5C1-270F-4EDF-95CC-8ADBDD4DC41D}" name="outlet_id" dataDxfId="12"/>
    <tableColumn id="5" xr3:uid="{EDD25072-C3FE-49F7-9919-EAE3E8374D01}" name="cms_id" dataDxfId="11"/>
    <tableColumn id="6" xr3:uid="{38086C39-A0A0-47CA-AA0F-45384F8972F3}" name="created_date" dataDxfId="10">
      <calculatedColumnFormula>INT(B2)</calculatedColumnFormula>
    </tableColumn>
    <tableColumn id="7" xr3:uid="{429090F9-B10B-4DBA-8DC3-12E3DC751612}" name="closed_date" dataDxfId="9">
      <calculatedColumnFormula>INT(C2)</calculatedColumnFormula>
    </tableColumn>
    <tableColumn id="8" xr3:uid="{EE1FDAD3-B293-4B1A-90C6-795C1BD1D76A}" name="created_hour" dataDxfId="8">
      <calculatedColumnFormula>HOUR(B2)</calculatedColumnFormula>
    </tableColumn>
    <tableColumn id="9" xr3:uid="{DEE4FDF6-0588-4773-AA2C-EA951D83B0FF}" name="closed_at2" dataDxfId="7">
      <calculatedColumnFormula>HOUR(C2)</calculatedColumnFormula>
    </tableColumn>
    <tableColumn id="10" xr3:uid="{13C65D3D-94A9-4D17-9115-D5753B9DD9EF}" name="Same_day" dataDxfId="6">
      <calculatedColumnFormula>IF(F2=G2, 1, 0)</calculatedColumnFormula>
    </tableColumn>
    <tableColumn id="11" xr3:uid="{264865BD-9DE5-4EE6-857D-8FF5DDAF42E0}" name="same_hour" dataDxfId="5">
      <calculatedColumnFormula>IF(AND(F2=G2, H2=I2), 1,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26A8AE-0CB0-4107-8325-3B8F886FDCCD}" name="Table2" displayName="Table2" ref="A1:D6" totalsRowShown="0">
  <autoFilter ref="A1:D6" xr:uid="{FB26A8AE-0CB0-4107-8325-3B8F886FDCCD}"/>
  <tableColumns count="4">
    <tableColumn id="1" xr3:uid="{2A152E71-A6B4-4237-A58B-98DFA6D36DD2}" name="cms_id" dataDxfId="4"/>
    <tableColumn id="2" xr3:uid="{0602A58F-8C9B-490B-8158-DAB7D439C6B5}" name="feedback_at" dataDxfId="3"/>
    <tableColumn id="3" xr3:uid="{4642BB0E-11E9-4FBA-9DBC-D16210CA289D}" name="feedback_rating" dataDxfId="2"/>
    <tableColumn id="4" xr3:uid="{7FE7D094-0491-416C-8A22-B7C49371B5AB}" name="ticket_created_at" dataDxfId="1">
      <calculatedColumnFormula>INDEX(ticket!B:B,MATCH(A2,ticket!E:E,0))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13AE-78D6-4049-9FE4-5F1A75FD9125}">
  <dimension ref="A3:C6"/>
  <sheetViews>
    <sheetView workbookViewId="0">
      <selection activeCell="G11" sqref="G11"/>
    </sheetView>
  </sheetViews>
  <sheetFormatPr defaultRowHeight="15" x14ac:dyDescent="0.25"/>
  <cols>
    <col min="1" max="1" width="13.7109375" bestFit="1" customWidth="1"/>
    <col min="2" max="2" width="16.7109375" bestFit="1" customWidth="1"/>
    <col min="3" max="4" width="17.7109375" bestFit="1" customWidth="1"/>
    <col min="5" max="5" width="12.7109375" customWidth="1"/>
    <col min="6" max="6" width="21.85546875" bestFit="1" customWidth="1"/>
    <col min="7" max="7" width="22.7109375" bestFit="1" customWidth="1"/>
    <col min="8" max="8" width="6.85546875" bestFit="1" customWidth="1"/>
    <col min="9" max="9" width="3.85546875" bestFit="1" customWidth="1"/>
    <col min="10" max="10" width="2" bestFit="1" customWidth="1"/>
    <col min="11" max="11" width="6.85546875" bestFit="1" customWidth="1"/>
    <col min="12" max="12" width="21.85546875" bestFit="1" customWidth="1"/>
    <col min="13" max="13" width="22.7109375" bestFit="1" customWidth="1"/>
  </cols>
  <sheetData>
    <row r="3" spans="1:3" x14ac:dyDescent="0.25">
      <c r="A3" s="6" t="s">
        <v>26</v>
      </c>
      <c r="B3" t="s">
        <v>28</v>
      </c>
      <c r="C3" t="s">
        <v>29</v>
      </c>
    </row>
    <row r="4" spans="1:3" x14ac:dyDescent="0.25">
      <c r="A4" s="7" t="s">
        <v>9</v>
      </c>
      <c r="B4">
        <v>1</v>
      </c>
      <c r="C4">
        <v>1</v>
      </c>
    </row>
    <row r="5" spans="1:3" x14ac:dyDescent="0.25">
      <c r="A5" s="7" t="s">
        <v>6</v>
      </c>
      <c r="B5">
        <v>2</v>
      </c>
      <c r="C5">
        <v>1</v>
      </c>
    </row>
    <row r="6" spans="1:3" x14ac:dyDescent="0.25">
      <c r="A6" s="7" t="s">
        <v>27</v>
      </c>
      <c r="B6">
        <v>3</v>
      </c>
      <c r="C6">
        <v>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775B-4C9A-461F-ABC6-D36605BAA93D}">
  <dimension ref="A1:K12"/>
  <sheetViews>
    <sheetView workbookViewId="0">
      <selection activeCell="B2" sqref="B2:B6"/>
    </sheetView>
  </sheetViews>
  <sheetFormatPr defaultRowHeight="15" x14ac:dyDescent="0.25"/>
  <cols>
    <col min="1" max="1" width="10.85546875" customWidth="1"/>
    <col min="2" max="3" width="15.5703125" bestFit="1" customWidth="1"/>
    <col min="4" max="4" width="11.28515625" customWidth="1"/>
    <col min="5" max="5" width="9.28515625" customWidth="1"/>
    <col min="6" max="6" width="14.7109375" bestFit="1" customWidth="1"/>
    <col min="7" max="7" width="1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ht="30" x14ac:dyDescent="0.25">
      <c r="A2" s="2" t="s">
        <v>5</v>
      </c>
      <c r="B2" s="3">
        <v>44427.378611111111</v>
      </c>
      <c r="C2" s="4">
        <v>44430.523287037038</v>
      </c>
      <c r="D2" s="2" t="s">
        <v>6</v>
      </c>
      <c r="E2" s="2" t="s">
        <v>7</v>
      </c>
      <c r="F2" s="5">
        <f>INT(B2)</f>
        <v>44427</v>
      </c>
      <c r="G2" s="5">
        <f t="shared" ref="G2:G6" si="0">INT(C2)</f>
        <v>44430</v>
      </c>
      <c r="H2" s="2">
        <f t="shared" ref="H2:H6" si="1">HOUR(B2)</f>
        <v>9</v>
      </c>
      <c r="I2" s="2">
        <f t="shared" ref="I2:I6" si="2">HOUR(C2)</f>
        <v>12</v>
      </c>
      <c r="J2" s="2">
        <f t="shared" ref="J2:J6" si="3">IF(F2=G2, 1, 0)</f>
        <v>0</v>
      </c>
      <c r="K2" s="2">
        <f t="shared" ref="K2:K6" si="4">IF(AND(F2=G2, H2=I2), 1, 0)</f>
        <v>0</v>
      </c>
    </row>
    <row r="3" spans="1:11" ht="30" x14ac:dyDescent="0.25">
      <c r="A3" s="2" t="s">
        <v>8</v>
      </c>
      <c r="B3" s="3">
        <v>44428.378611111111</v>
      </c>
      <c r="C3" s="4">
        <v>44429.717881944445</v>
      </c>
      <c r="D3" s="2" t="s">
        <v>9</v>
      </c>
      <c r="E3" s="2" t="s">
        <v>10</v>
      </c>
      <c r="F3" s="5">
        <f t="shared" ref="F3:F6" si="5">INT(B3)</f>
        <v>44428</v>
      </c>
      <c r="G3" s="5">
        <f t="shared" si="0"/>
        <v>44429</v>
      </c>
      <c r="H3" s="2">
        <f t="shared" si="1"/>
        <v>9</v>
      </c>
      <c r="I3" s="2">
        <f t="shared" si="2"/>
        <v>17</v>
      </c>
      <c r="J3" s="2">
        <f t="shared" si="3"/>
        <v>0</v>
      </c>
      <c r="K3" s="2">
        <f t="shared" si="4"/>
        <v>0</v>
      </c>
    </row>
    <row r="4" spans="1:11" ht="30" x14ac:dyDescent="0.25">
      <c r="A4" s="2" t="s">
        <v>11</v>
      </c>
      <c r="B4" s="3">
        <v>44429</v>
      </c>
      <c r="C4" s="4">
        <v>44429.406365740739</v>
      </c>
      <c r="D4" s="2" t="s">
        <v>6</v>
      </c>
      <c r="E4" s="2" t="s">
        <v>12</v>
      </c>
      <c r="F4" s="5">
        <f t="shared" si="5"/>
        <v>44429</v>
      </c>
      <c r="G4" s="5">
        <f t="shared" si="0"/>
        <v>44429</v>
      </c>
      <c r="H4" s="2">
        <f t="shared" si="1"/>
        <v>0</v>
      </c>
      <c r="I4" s="2">
        <f t="shared" si="2"/>
        <v>9</v>
      </c>
      <c r="J4" s="2">
        <f t="shared" si="3"/>
        <v>1</v>
      </c>
      <c r="K4" s="2">
        <f t="shared" si="4"/>
        <v>0</v>
      </c>
    </row>
    <row r="5" spans="1:11" ht="30" x14ac:dyDescent="0.25">
      <c r="A5" s="2" t="s">
        <v>13</v>
      </c>
      <c r="B5" s="3">
        <v>44430</v>
      </c>
      <c r="C5" s="3">
        <v>44430.618287037039</v>
      </c>
      <c r="D5" s="2" t="s">
        <v>9</v>
      </c>
      <c r="E5" s="2" t="s">
        <v>14</v>
      </c>
      <c r="F5" s="5">
        <f t="shared" si="5"/>
        <v>44430</v>
      </c>
      <c r="G5" s="5">
        <f t="shared" si="0"/>
        <v>44430</v>
      </c>
      <c r="H5" s="2">
        <f t="shared" si="1"/>
        <v>0</v>
      </c>
      <c r="I5" s="2">
        <f t="shared" si="2"/>
        <v>14</v>
      </c>
      <c r="J5" s="2">
        <f t="shared" si="3"/>
        <v>1</v>
      </c>
      <c r="K5" s="2">
        <f t="shared" si="4"/>
        <v>0</v>
      </c>
    </row>
    <row r="6" spans="1:11" ht="30" x14ac:dyDescent="0.25">
      <c r="A6" s="2" t="s">
        <v>15</v>
      </c>
      <c r="B6" s="3">
        <v>44431</v>
      </c>
      <c r="C6" s="4">
        <v>44430.461863425924</v>
      </c>
      <c r="D6" s="2" t="s">
        <v>6</v>
      </c>
      <c r="E6" s="2" t="s">
        <v>16</v>
      </c>
      <c r="F6" s="5">
        <f t="shared" si="5"/>
        <v>44431</v>
      </c>
      <c r="G6" s="5">
        <f t="shared" si="0"/>
        <v>44430</v>
      </c>
      <c r="H6" s="2">
        <f t="shared" si="1"/>
        <v>0</v>
      </c>
      <c r="I6" s="2">
        <f t="shared" si="2"/>
        <v>11</v>
      </c>
      <c r="J6" s="2">
        <f t="shared" si="3"/>
        <v>0</v>
      </c>
      <c r="K6" s="2">
        <f t="shared" si="4"/>
        <v>0</v>
      </c>
    </row>
    <row r="7" spans="1:11" x14ac:dyDescent="0.25">
      <c r="B7" s="2"/>
      <c r="C7" s="2"/>
      <c r="G7" s="1"/>
      <c r="H7" s="1"/>
      <c r="I7" s="1"/>
      <c r="J7" s="1"/>
      <c r="K7" s="1"/>
    </row>
    <row r="8" spans="1:11" x14ac:dyDescent="0.25">
      <c r="G8" s="2"/>
      <c r="H8" s="4"/>
      <c r="I8" s="4"/>
      <c r="J8" s="2"/>
      <c r="K8" s="2"/>
    </row>
    <row r="9" spans="1:11" x14ac:dyDescent="0.25">
      <c r="G9" s="2"/>
      <c r="H9" s="4"/>
      <c r="I9" s="4"/>
      <c r="J9" s="2"/>
      <c r="K9" s="2"/>
    </row>
    <row r="10" spans="1:11" x14ac:dyDescent="0.25">
      <c r="G10" s="2"/>
      <c r="H10" s="4"/>
      <c r="I10" s="4"/>
      <c r="J10" s="2"/>
      <c r="K10" s="2"/>
    </row>
    <row r="11" spans="1:11" x14ac:dyDescent="0.25">
      <c r="G11" s="2"/>
      <c r="H11" s="4"/>
      <c r="I11" s="4"/>
      <c r="J11" s="2"/>
      <c r="K11" s="2"/>
    </row>
    <row r="12" spans="1:11" x14ac:dyDescent="0.25">
      <c r="G12" s="2"/>
      <c r="H12" s="4"/>
      <c r="I12" s="4"/>
      <c r="J12" s="2"/>
      <c r="K1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A28-FA6E-416D-B9BE-322E933F9433}">
  <dimension ref="A1:J11"/>
  <sheetViews>
    <sheetView tabSelected="1" workbookViewId="0">
      <selection activeCell="D2" sqref="D2"/>
    </sheetView>
  </sheetViews>
  <sheetFormatPr defaultRowHeight="15" x14ac:dyDescent="0.25"/>
  <cols>
    <col min="1" max="1" width="11.7109375" bestFit="1" customWidth="1"/>
    <col min="2" max="2" width="15.5703125" bestFit="1" customWidth="1"/>
    <col min="3" max="3" width="17.42578125" customWidth="1"/>
    <col min="4" max="4" width="18.5703125" customWidth="1"/>
  </cols>
  <sheetData>
    <row r="1" spans="1:10" x14ac:dyDescent="0.25">
      <c r="A1" s="1" t="s">
        <v>4</v>
      </c>
      <c r="B1" t="s">
        <v>17</v>
      </c>
      <c r="C1" t="s">
        <v>18</v>
      </c>
      <c r="D1" t="s">
        <v>19</v>
      </c>
    </row>
    <row r="2" spans="1:10" ht="30" x14ac:dyDescent="0.25">
      <c r="A2" s="2" t="s">
        <v>7</v>
      </c>
      <c r="B2" s="4">
        <v>44429.560277777775</v>
      </c>
      <c r="C2" s="2">
        <v>3</v>
      </c>
      <c r="D2" s="4">
        <f>INDEX(ticket!B:B,MATCH(A2,ticket!E:E,0))</f>
        <v>44427.378611111111</v>
      </c>
    </row>
    <row r="3" spans="1:10" x14ac:dyDescent="0.25">
      <c r="A3" s="2" t="s">
        <v>10</v>
      </c>
      <c r="B3" s="4">
        <v>44429.75</v>
      </c>
      <c r="C3" s="2">
        <v>5</v>
      </c>
      <c r="D3" s="4">
        <f>INDEX(ticket!B:B,MATCH(A3,ticket!E:E,0))</f>
        <v>44428.378611111111</v>
      </c>
    </row>
    <row r="4" spans="1:10" ht="30" x14ac:dyDescent="0.25">
      <c r="A4" s="2" t="s">
        <v>12</v>
      </c>
      <c r="B4" s="4">
        <v>44429.427083333336</v>
      </c>
      <c r="C4" s="2">
        <v>4</v>
      </c>
      <c r="D4" s="3">
        <f>INDEX(ticket!B:B,MATCH(A4,ticket!E:E,0))</f>
        <v>44429</v>
      </c>
    </row>
    <row r="5" spans="1:10" ht="30" x14ac:dyDescent="0.25">
      <c r="A5" s="2" t="s">
        <v>14</v>
      </c>
      <c r="B5" s="4">
        <v>44430.631944444445</v>
      </c>
      <c r="C5" s="2">
        <v>2</v>
      </c>
      <c r="D5" s="3">
        <f>INDEX(ticket!B:B,MATCH(A5,ticket!E:E,0))</f>
        <v>44430</v>
      </c>
    </row>
    <row r="6" spans="1:10" x14ac:dyDescent="0.25">
      <c r="A6" s="2" t="s">
        <v>16</v>
      </c>
      <c r="B6" s="4">
        <v>44430.5</v>
      </c>
      <c r="C6" s="2">
        <v>5</v>
      </c>
      <c r="D6" s="4">
        <f>INDEX(ticket!B:B,MATCH(A6,ticket!E:E,0))</f>
        <v>44431</v>
      </c>
    </row>
    <row r="7" spans="1:10" x14ac:dyDescent="0.25">
      <c r="G7" s="2"/>
      <c r="H7" s="4"/>
      <c r="I7" s="2"/>
      <c r="J7" s="2"/>
    </row>
    <row r="8" spans="1:10" x14ac:dyDescent="0.25">
      <c r="G8" s="2"/>
      <c r="H8" s="4"/>
      <c r="I8" s="2"/>
      <c r="J8" s="2"/>
    </row>
    <row r="9" spans="1:10" x14ac:dyDescent="0.25">
      <c r="G9" s="2"/>
      <c r="H9" s="4"/>
      <c r="I9" s="2"/>
      <c r="J9" s="2"/>
    </row>
    <row r="10" spans="1:10" x14ac:dyDescent="0.25">
      <c r="G10" s="2"/>
      <c r="H10" s="4"/>
      <c r="I10" s="2"/>
      <c r="J10" s="2"/>
    </row>
    <row r="11" spans="1:10" x14ac:dyDescent="0.25">
      <c r="G11" s="2"/>
      <c r="H11" s="4"/>
      <c r="I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Pivot_for_tickets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Shash</dc:creator>
  <cp:lastModifiedBy>Shashi Shash</cp:lastModifiedBy>
  <dcterms:created xsi:type="dcterms:W3CDTF">2026-04-08T14:49:17Z</dcterms:created>
  <dcterms:modified xsi:type="dcterms:W3CDTF">2026-04-09T06:28:01Z</dcterms:modified>
</cp:coreProperties>
</file>